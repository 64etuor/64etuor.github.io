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\OneDrive\경영학 학습자료\"/>
    </mc:Choice>
  </mc:AlternateContent>
  <xr:revisionPtr revIDLastSave="0" documentId="13_ncr:1_{EF9E9AD2-3F02-46E3-8C36-2BA8313C4917}" xr6:coauthVersionLast="47" xr6:coauthVersionMax="47" xr10:uidLastSave="{00000000-0000-0000-0000-000000000000}"/>
  <bookViews>
    <workbookView xWindow="28680" yWindow="-120" windowWidth="29040" windowHeight="15840" activeTab="3" xr2:uid="{CBE88615-4B98-456B-BC20-13E752629C73}"/>
  </bookViews>
  <sheets>
    <sheet name="Sheet1" sheetId="1" r:id="rId1"/>
    <sheet name="2022년 독학사 시험일정" sheetId="4" r:id="rId2"/>
    <sheet name="Sheet2" sheetId="5" r:id="rId3"/>
    <sheet name="Sheet3" sheetId="6" r:id="rId4"/>
    <sheet name="자격증 학점" sheetId="2" r:id="rId5"/>
    <sheet name="독학사,학은제 중복과목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6" l="1"/>
  <c r="E24" i="6"/>
  <c r="F24" i="6"/>
  <c r="G24" i="6"/>
  <c r="D24" i="6"/>
  <c r="D38" i="5"/>
  <c r="H38" i="5"/>
  <c r="J10" i="5"/>
  <c r="J39" i="5" s="1"/>
  <c r="D6" i="5"/>
  <c r="F10" i="5" s="1"/>
  <c r="E6" i="5"/>
  <c r="H10" i="5" s="1"/>
  <c r="F6" i="5"/>
  <c r="G6" i="5"/>
  <c r="C6" i="5"/>
  <c r="D10" i="5" s="1"/>
  <c r="C14" i="1"/>
  <c r="B14" i="1"/>
  <c r="F13" i="1"/>
  <c r="E13" i="1"/>
  <c r="D13" i="1"/>
  <c r="C13" i="1"/>
  <c r="B13" i="1"/>
  <c r="B12" i="1"/>
  <c r="C11" i="1"/>
  <c r="D4" i="1"/>
  <c r="H39" i="5" l="1"/>
  <c r="D39" i="5"/>
</calcChain>
</file>

<file path=xl/sharedStrings.xml><?xml version="1.0" encoding="utf-8"?>
<sst xmlns="http://schemas.openxmlformats.org/spreadsheetml/2006/main" count="123" uniqueCount="91">
  <si>
    <t>매경테스트</t>
    <phoneticPr fontId="1" type="noConversion"/>
  </si>
  <si>
    <t>텔레마케팅 관리사</t>
    <phoneticPr fontId="1" type="noConversion"/>
  </si>
  <si>
    <t>CS리더스관리사</t>
    <phoneticPr fontId="1" type="noConversion"/>
  </si>
  <si>
    <t>전공</t>
    <phoneticPr fontId="1" type="noConversion"/>
  </si>
  <si>
    <t>일반</t>
    <phoneticPr fontId="1" type="noConversion"/>
  </si>
  <si>
    <t>필요학점</t>
    <phoneticPr fontId="1" type="noConversion"/>
  </si>
  <si>
    <t>교양</t>
    <phoneticPr fontId="1" type="noConversion"/>
  </si>
  <si>
    <t>나머지학점</t>
    <phoneticPr fontId="1" type="noConversion"/>
  </si>
  <si>
    <t>자격증</t>
    <phoneticPr fontId="1" type="noConversion"/>
  </si>
  <si>
    <t>전적대 학점</t>
    <phoneticPr fontId="1" type="noConversion"/>
  </si>
  <si>
    <t>독학사 1단계</t>
    <phoneticPr fontId="1" type="noConversion"/>
  </si>
  <si>
    <t>독학사 2단계</t>
    <phoneticPr fontId="1" type="noConversion"/>
  </si>
  <si>
    <t>차이</t>
    <phoneticPr fontId="1" type="noConversion"/>
  </si>
  <si>
    <t>경제학개론</t>
    <phoneticPr fontId="1" type="noConversion"/>
  </si>
  <si>
    <t>경영학개론</t>
    <phoneticPr fontId="1" type="noConversion"/>
  </si>
  <si>
    <t>사회학개론</t>
    <phoneticPr fontId="1" type="noConversion"/>
  </si>
  <si>
    <t>심리학개론</t>
    <phoneticPr fontId="1" type="noConversion"/>
  </si>
  <si>
    <t>전필</t>
    <phoneticPr fontId="1" type="noConversion"/>
  </si>
  <si>
    <t>전선</t>
    <phoneticPr fontId="1" type="noConversion"/>
  </si>
  <si>
    <t>회계원리</t>
    <phoneticPr fontId="1" type="noConversion"/>
  </si>
  <si>
    <t>인적자원관리</t>
    <phoneticPr fontId="1" type="noConversion"/>
  </si>
  <si>
    <t>마케팅원론</t>
    <phoneticPr fontId="1" type="noConversion"/>
  </si>
  <si>
    <t>조직행동론</t>
    <phoneticPr fontId="1" type="noConversion"/>
  </si>
  <si>
    <t>경영정보론</t>
    <phoneticPr fontId="1" type="noConversion"/>
  </si>
  <si>
    <t>마케팅조사</t>
    <phoneticPr fontId="1" type="noConversion"/>
  </si>
  <si>
    <t>생산운영관리</t>
    <phoneticPr fontId="1" type="noConversion"/>
  </si>
  <si>
    <t>원가관리회계</t>
    <phoneticPr fontId="1" type="noConversion"/>
  </si>
  <si>
    <t>단계</t>
    <phoneticPr fontId="1" type="noConversion"/>
  </si>
  <si>
    <t>과목명</t>
    <phoneticPr fontId="1" type="noConversion"/>
  </si>
  <si>
    <t>인정구분</t>
    <phoneticPr fontId="1" type="noConversion"/>
  </si>
  <si>
    <t>독학사/학점은행제 중복과목</t>
    <phoneticPr fontId="1" type="noConversion"/>
  </si>
  <si>
    <t>교양과정</t>
    <phoneticPr fontId="1" type="noConversion"/>
  </si>
  <si>
    <t>전공기초</t>
    <phoneticPr fontId="1" type="noConversion"/>
  </si>
  <si>
    <t>자격증 학점 인정(경영학)</t>
    <phoneticPr fontId="1" type="noConversion"/>
  </si>
  <si>
    <t>자격증명</t>
    <phoneticPr fontId="1" type="noConversion"/>
  </si>
  <si>
    <t>인정학점</t>
    <phoneticPr fontId="1" type="noConversion"/>
  </si>
  <si>
    <t>사무자동화산업기사</t>
    <phoneticPr fontId="1" type="noConversion"/>
  </si>
  <si>
    <t>학점 정보</t>
  </si>
  <si>
    <t>전필</t>
  </si>
  <si>
    <t>전선</t>
  </si>
  <si>
    <t>교양</t>
  </si>
  <si>
    <t>일선</t>
  </si>
  <si>
    <t>합계</t>
  </si>
  <si>
    <t>목표학점</t>
  </si>
  <si>
    <t>보유예상학점</t>
  </si>
  <si>
    <t>부족학점</t>
  </si>
  <si>
    <t>과목명</t>
  </si>
  <si>
    <t>학점</t>
  </si>
  <si>
    <t>2023년 1학기</t>
  </si>
  <si>
    <t>2023년 2학기</t>
  </si>
  <si>
    <t>자유선택7과목</t>
  </si>
  <si>
    <t>독학사</t>
  </si>
  <si>
    <t>1단계5과목</t>
  </si>
  <si>
    <t>자격증</t>
  </si>
  <si>
    <t>매경test 우수</t>
  </si>
  <si>
    <t>사무자동화 산업기사</t>
  </si>
  <si>
    <t>텔레마케팅관리사</t>
  </si>
  <si>
    <t>구분</t>
  </si>
  <si>
    <t>경영정보시스템</t>
    <phoneticPr fontId="1" type="noConversion"/>
  </si>
  <si>
    <t>국제경영</t>
    <phoneticPr fontId="1" type="noConversion"/>
  </si>
  <si>
    <t>생산관리</t>
    <phoneticPr fontId="1" type="noConversion"/>
  </si>
  <si>
    <t>경영혁신</t>
    <phoneticPr fontId="1" type="noConversion"/>
  </si>
  <si>
    <t>경영전략론</t>
    <phoneticPr fontId="1" type="noConversion"/>
  </si>
  <si>
    <t>경영통계학</t>
    <phoneticPr fontId="1" type="noConversion"/>
  </si>
  <si>
    <t>인간관계론</t>
    <phoneticPr fontId="1" type="noConversion"/>
  </si>
  <si>
    <t>인력개발과활용</t>
    <phoneticPr fontId="1" type="noConversion"/>
  </si>
  <si>
    <t>광고학</t>
    <phoneticPr fontId="1" type="noConversion"/>
  </si>
  <si>
    <t>산업심리학</t>
    <phoneticPr fontId="1" type="noConversion"/>
  </si>
  <si>
    <t>리더십</t>
    <phoneticPr fontId="1" type="noConversion"/>
  </si>
  <si>
    <t>외국어습득론</t>
    <phoneticPr fontId="1" type="noConversion"/>
  </si>
  <si>
    <t>지식재산개론</t>
    <phoneticPr fontId="1" type="noConversion"/>
  </si>
  <si>
    <t>학점 취득원</t>
  </si>
  <si>
    <t>전공필수</t>
  </si>
  <si>
    <t>전공선택</t>
  </si>
  <si>
    <t>일반선택</t>
  </si>
  <si>
    <t>계</t>
  </si>
  <si>
    <t>평가인정된 학습과정</t>
  </si>
  <si>
    <t>독학사 시험합격</t>
  </si>
  <si>
    <t>독학사 면제</t>
  </si>
  <si>
    <t>학점인정대상학교 학습과목</t>
  </si>
  <si>
    <t>시간제등록</t>
  </si>
  <si>
    <t>총계</t>
  </si>
  <si>
    <t>24년 2학기 해커스 교육</t>
    <phoneticPr fontId="1" type="noConversion"/>
  </si>
  <si>
    <t>데이터베이스</t>
    <phoneticPr fontId="1" type="noConversion"/>
  </si>
  <si>
    <t>전선/교양</t>
    <phoneticPr fontId="1" type="noConversion"/>
  </si>
  <si>
    <t>재무관리</t>
    <phoneticPr fontId="1" type="noConversion"/>
  </si>
  <si>
    <t>회계와사회</t>
    <phoneticPr fontId="1" type="noConversion"/>
  </si>
  <si>
    <t>원가관리회계 I</t>
    <phoneticPr fontId="1" type="noConversion"/>
  </si>
  <si>
    <t>중급재무회계 I</t>
    <phoneticPr fontId="1" type="noConversion"/>
  </si>
  <si>
    <t>텔레마케팅</t>
    <phoneticPr fontId="1" type="noConversion"/>
  </si>
  <si>
    <t>사무자동화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</si>
</sst>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218190</xdr:colOff>
      <xdr:row>26</xdr:row>
      <xdr:rowOff>104081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C1ABEC-AFC4-04A1-323A-8C4EBAF63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76190" cy="5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C51C-8A87-4073-BC24-7AA2DD2FBFA8}">
  <dimension ref="A2:F14"/>
  <sheetViews>
    <sheetView workbookViewId="0">
      <selection activeCell="C14" sqref="C14"/>
    </sheetView>
  </sheetViews>
  <sheetFormatPr defaultRowHeight="16.5" x14ac:dyDescent="0.3"/>
  <cols>
    <col min="1" max="10" width="18" customWidth="1"/>
  </cols>
  <sheetData>
    <row r="2" spans="1:6" x14ac:dyDescent="0.3">
      <c r="B2" t="s">
        <v>5</v>
      </c>
    </row>
    <row r="3" spans="1:6" x14ac:dyDescent="0.3">
      <c r="B3" t="s">
        <v>3</v>
      </c>
      <c r="C3" t="s">
        <v>6</v>
      </c>
      <c r="D3" t="s">
        <v>7</v>
      </c>
      <c r="E3" t="s">
        <v>5</v>
      </c>
    </row>
    <row r="4" spans="1:6" x14ac:dyDescent="0.3">
      <c r="B4">
        <v>60</v>
      </c>
      <c r="C4">
        <v>30</v>
      </c>
      <c r="D4">
        <f>E4-C4-B4</f>
        <v>50</v>
      </c>
      <c r="E4">
        <v>140</v>
      </c>
    </row>
    <row r="9" spans="1:6" x14ac:dyDescent="0.3">
      <c r="A9" t="s">
        <v>8</v>
      </c>
      <c r="B9">
        <v>36</v>
      </c>
    </row>
    <row r="10" spans="1:6" x14ac:dyDescent="0.3">
      <c r="A10" t="s">
        <v>9</v>
      </c>
      <c r="D10">
        <v>7</v>
      </c>
    </row>
    <row r="11" spans="1:6" x14ac:dyDescent="0.3">
      <c r="A11" t="s">
        <v>10</v>
      </c>
      <c r="C11">
        <f>4*5</f>
        <v>20</v>
      </c>
    </row>
    <row r="12" spans="1:6" x14ac:dyDescent="0.3">
      <c r="A12" t="s">
        <v>11</v>
      </c>
      <c r="B12">
        <f>8*5</f>
        <v>40</v>
      </c>
      <c r="F12" t="s">
        <v>12</v>
      </c>
    </row>
    <row r="13" spans="1:6" x14ac:dyDescent="0.3">
      <c r="B13">
        <f>SUM(B9:B12)</f>
        <v>76</v>
      </c>
      <c r="C13">
        <f>SUM(C9:C12)</f>
        <v>20</v>
      </c>
      <c r="D13">
        <f>SUM(D9:D12)</f>
        <v>7</v>
      </c>
      <c r="E13">
        <f>SUM(B13:D13)</f>
        <v>103</v>
      </c>
      <c r="F13">
        <f>E4-E13</f>
        <v>37</v>
      </c>
    </row>
    <row r="14" spans="1:6" x14ac:dyDescent="0.3">
      <c r="B14" t="str">
        <f>IF(B13&gt;B4,"충족","미달")</f>
        <v>충족</v>
      </c>
      <c r="C14" t="str">
        <f>IF(C13&gt;C4,"충족","미달")</f>
        <v>미달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948E-5AD2-4A37-939A-E20DFDEFAD65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AC04-D1F2-4D4A-BF79-6BF5D8E8A611}">
  <dimension ref="B3:J39"/>
  <sheetViews>
    <sheetView topLeftCell="A7" workbookViewId="0">
      <selection activeCell="O13" sqref="O13"/>
    </sheetView>
  </sheetViews>
  <sheetFormatPr defaultRowHeight="16.5" x14ac:dyDescent="0.3"/>
  <cols>
    <col min="2" max="2" width="15.5" customWidth="1"/>
    <col min="3" max="10" width="16" customWidth="1"/>
  </cols>
  <sheetData>
    <row r="3" spans="2:10" x14ac:dyDescent="0.3"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</row>
    <row r="4" spans="2:10" x14ac:dyDescent="0.3">
      <c r="B4" s="1" t="s">
        <v>43</v>
      </c>
      <c r="C4" s="1">
        <v>27</v>
      </c>
      <c r="D4" s="1">
        <v>33</v>
      </c>
      <c r="E4" s="1">
        <v>30</v>
      </c>
      <c r="F4" s="1">
        <v>50</v>
      </c>
      <c r="G4" s="1">
        <v>140</v>
      </c>
    </row>
    <row r="5" spans="2:10" x14ac:dyDescent="0.3">
      <c r="B5" s="1" t="s">
        <v>44</v>
      </c>
      <c r="C5" s="1">
        <v>9</v>
      </c>
      <c r="D5" s="1">
        <v>9</v>
      </c>
      <c r="E5" s="1">
        <v>0</v>
      </c>
      <c r="F5" s="1">
        <v>10</v>
      </c>
      <c r="G5" s="1">
        <v>28</v>
      </c>
    </row>
    <row r="6" spans="2:10" x14ac:dyDescent="0.3">
      <c r="B6" s="1" t="s">
        <v>45</v>
      </c>
      <c r="C6" s="1">
        <f>C5-C4</f>
        <v>-18</v>
      </c>
      <c r="D6" s="1">
        <f t="shared" ref="D6:G6" si="0">D5-D4</f>
        <v>-24</v>
      </c>
      <c r="E6" s="1">
        <f t="shared" si="0"/>
        <v>-30</v>
      </c>
      <c r="F6" s="1">
        <f t="shared" si="0"/>
        <v>-40</v>
      </c>
      <c r="G6" s="1">
        <f t="shared" si="0"/>
        <v>-112</v>
      </c>
    </row>
    <row r="10" spans="2:10" x14ac:dyDescent="0.3">
      <c r="D10" s="1">
        <f>C6</f>
        <v>-18</v>
      </c>
      <c r="F10" s="1">
        <f>D6</f>
        <v>-24</v>
      </c>
      <c r="H10" s="1">
        <f>E6</f>
        <v>-30</v>
      </c>
      <c r="J10" s="1">
        <f>F6</f>
        <v>-40</v>
      </c>
    </row>
    <row r="11" spans="2:10" x14ac:dyDescent="0.3">
      <c r="B11" s="1" t="s">
        <v>57</v>
      </c>
      <c r="C11" s="5" t="s">
        <v>38</v>
      </c>
      <c r="D11" s="5"/>
      <c r="E11" s="5" t="s">
        <v>39</v>
      </c>
      <c r="F11" s="5"/>
      <c r="G11" s="5" t="s">
        <v>40</v>
      </c>
      <c r="H11" s="5"/>
      <c r="I11" s="5" t="s">
        <v>41</v>
      </c>
      <c r="J11" s="5"/>
    </row>
    <row r="12" spans="2:10" x14ac:dyDescent="0.3">
      <c r="B12" s="1"/>
      <c r="C12" s="1" t="s">
        <v>46</v>
      </c>
      <c r="D12" s="1" t="s">
        <v>47</v>
      </c>
      <c r="E12" s="1" t="s">
        <v>46</v>
      </c>
      <c r="F12" s="1" t="s">
        <v>47</v>
      </c>
      <c r="G12" s="1" t="s">
        <v>46</v>
      </c>
      <c r="H12" s="1" t="s">
        <v>47</v>
      </c>
      <c r="I12" s="1" t="s">
        <v>46</v>
      </c>
      <c r="J12" s="1" t="s">
        <v>47</v>
      </c>
    </row>
    <row r="13" spans="2:10" x14ac:dyDescent="0.3">
      <c r="B13" s="1" t="s">
        <v>48</v>
      </c>
      <c r="C13" s="1" t="s">
        <v>62</v>
      </c>
      <c r="D13" s="1">
        <v>3</v>
      </c>
      <c r="E13" s="1"/>
      <c r="F13" s="1"/>
      <c r="G13" s="1" t="s">
        <v>69</v>
      </c>
      <c r="H13" s="1">
        <v>3</v>
      </c>
      <c r="I13" s="1"/>
      <c r="J13" s="1"/>
    </row>
    <row r="14" spans="2:10" x14ac:dyDescent="0.3">
      <c r="B14" s="1"/>
      <c r="C14" s="1" t="s">
        <v>58</v>
      </c>
      <c r="D14" s="1">
        <v>3</v>
      </c>
      <c r="E14" s="1"/>
      <c r="F14" s="1"/>
      <c r="G14" s="1" t="s">
        <v>64</v>
      </c>
      <c r="H14" s="1">
        <v>3</v>
      </c>
      <c r="I14" s="1"/>
      <c r="J14" s="1"/>
    </row>
    <row r="15" spans="2:10" x14ac:dyDescent="0.3">
      <c r="B15" s="1"/>
      <c r="C15" s="1" t="s">
        <v>61</v>
      </c>
      <c r="D15" s="1">
        <v>3</v>
      </c>
      <c r="E15" s="1"/>
      <c r="F15" s="1"/>
      <c r="G15" s="1" t="s">
        <v>68</v>
      </c>
      <c r="H15" s="1">
        <v>3</v>
      </c>
      <c r="I15" s="1"/>
      <c r="J15" s="1"/>
    </row>
    <row r="16" spans="2:10" x14ac:dyDescent="0.3">
      <c r="B16" s="1"/>
      <c r="C16" s="1" t="s">
        <v>59</v>
      </c>
      <c r="D16" s="1">
        <v>3</v>
      </c>
      <c r="E16" s="1"/>
      <c r="F16" s="1"/>
      <c r="G16" s="1" t="s">
        <v>16</v>
      </c>
      <c r="H16" s="1">
        <v>3</v>
      </c>
      <c r="I16" s="1"/>
      <c r="J16" s="1"/>
    </row>
    <row r="17" spans="2:10" x14ac:dyDescent="0.3">
      <c r="B17" s="1"/>
      <c r="C17" s="1" t="s">
        <v>60</v>
      </c>
      <c r="D17" s="1">
        <v>3</v>
      </c>
      <c r="E17" s="1"/>
      <c r="F17" s="1"/>
      <c r="G17" s="1" t="s">
        <v>65</v>
      </c>
      <c r="H17" s="1">
        <v>3</v>
      </c>
      <c r="I17" s="1"/>
      <c r="J17" s="1"/>
    </row>
    <row r="18" spans="2:10" x14ac:dyDescent="0.3">
      <c r="B18" s="1"/>
      <c r="C18" s="1"/>
      <c r="D18" s="1"/>
      <c r="E18" s="1"/>
      <c r="F18" s="1"/>
      <c r="G18" s="1" t="s">
        <v>70</v>
      </c>
      <c r="H18" s="1">
        <v>3</v>
      </c>
      <c r="I18" s="1"/>
      <c r="J18" s="1"/>
    </row>
    <row r="19" spans="2:10" x14ac:dyDescent="0.3">
      <c r="B19" s="1"/>
      <c r="C19" s="1"/>
      <c r="D19" s="1"/>
      <c r="E19" s="1"/>
      <c r="F19" s="1"/>
      <c r="G19" s="1"/>
      <c r="H19" s="1"/>
      <c r="I19" s="1"/>
      <c r="J19" s="1"/>
    </row>
    <row r="20" spans="2:10" x14ac:dyDescent="0.3">
      <c r="B20" s="1"/>
      <c r="C20" s="1"/>
      <c r="D20" s="1"/>
      <c r="E20" s="1"/>
      <c r="F20" s="1"/>
      <c r="G20" s="1"/>
      <c r="H20" s="1"/>
      <c r="I20" s="1"/>
      <c r="J20" s="1"/>
    </row>
    <row r="21" spans="2:10" x14ac:dyDescent="0.3">
      <c r="B21" s="1"/>
      <c r="C21" s="1"/>
      <c r="D21" s="1"/>
      <c r="E21" s="1"/>
      <c r="F21" s="1"/>
      <c r="G21" s="1"/>
      <c r="H21" s="1"/>
      <c r="I21" s="1"/>
      <c r="J21" s="1"/>
    </row>
    <row r="22" spans="2:10" x14ac:dyDescent="0.3">
      <c r="B22" s="1"/>
      <c r="C22" s="1"/>
      <c r="D22" s="1"/>
      <c r="E22" s="1"/>
      <c r="F22" s="1"/>
      <c r="G22" s="1"/>
      <c r="H22" s="1">
        <v>3</v>
      </c>
      <c r="I22" s="1"/>
      <c r="J22" s="1"/>
    </row>
    <row r="23" spans="2:10" x14ac:dyDescent="0.3">
      <c r="B23" s="1" t="s">
        <v>49</v>
      </c>
      <c r="C23" s="1" t="s">
        <v>63</v>
      </c>
      <c r="D23" s="1">
        <v>3</v>
      </c>
      <c r="E23" s="1"/>
      <c r="F23" s="1"/>
      <c r="G23" s="1"/>
      <c r="H23" s="1">
        <v>3</v>
      </c>
      <c r="I23" s="1" t="s">
        <v>50</v>
      </c>
      <c r="J23" s="1">
        <v>21</v>
      </c>
    </row>
    <row r="24" spans="2:10" x14ac:dyDescent="0.3">
      <c r="B24" s="1"/>
      <c r="C24" s="1" t="s">
        <v>13</v>
      </c>
      <c r="D24" s="1">
        <v>3</v>
      </c>
      <c r="E24" s="1"/>
      <c r="F24" s="1"/>
      <c r="G24" s="1"/>
      <c r="H24" s="1">
        <v>3</v>
      </c>
      <c r="I24" s="1"/>
      <c r="J24" s="1"/>
    </row>
    <row r="25" spans="2:10" x14ac:dyDescent="0.3">
      <c r="B25" s="1"/>
      <c r="C25" s="1" t="s">
        <v>66</v>
      </c>
      <c r="D25" s="1">
        <v>3</v>
      </c>
      <c r="E25" s="1"/>
      <c r="F25" s="1"/>
      <c r="G25" s="1"/>
      <c r="H25" s="1"/>
      <c r="I25" s="1"/>
      <c r="J25" s="1"/>
    </row>
    <row r="26" spans="2:10" x14ac:dyDescent="0.3">
      <c r="B26" s="1"/>
      <c r="C26" s="1" t="s">
        <v>67</v>
      </c>
      <c r="D26" s="1">
        <v>3</v>
      </c>
      <c r="E26" s="1"/>
      <c r="F26" s="1"/>
      <c r="G26" s="1"/>
      <c r="H26" s="1"/>
      <c r="I26" s="1"/>
      <c r="J26" s="1"/>
    </row>
    <row r="27" spans="2:10" x14ac:dyDescent="0.3">
      <c r="B27" s="1"/>
      <c r="C27" s="1"/>
      <c r="D27" s="1"/>
      <c r="E27" s="1"/>
      <c r="F27" s="1"/>
      <c r="G27" s="1"/>
      <c r="H27" s="1"/>
      <c r="I27" s="1"/>
      <c r="J27" s="1"/>
    </row>
    <row r="28" spans="2:10" x14ac:dyDescent="0.3">
      <c r="B28" s="1"/>
      <c r="C28" s="1"/>
      <c r="D28" s="1"/>
      <c r="E28" s="1"/>
      <c r="F28" s="1"/>
      <c r="G28" s="1"/>
      <c r="H28" s="1"/>
      <c r="I28" s="1"/>
      <c r="J28" s="1"/>
    </row>
    <row r="29" spans="2:10" x14ac:dyDescent="0.3">
      <c r="B29" s="1"/>
      <c r="C29" s="1"/>
      <c r="D29" s="1"/>
      <c r="E29" s="1"/>
      <c r="F29" s="1"/>
      <c r="G29" s="1"/>
      <c r="H29" s="1"/>
      <c r="I29" s="1"/>
      <c r="J29" s="1"/>
    </row>
    <row r="30" spans="2:10" x14ac:dyDescent="0.3">
      <c r="B30" s="1"/>
      <c r="C30" s="1"/>
      <c r="D30" s="1"/>
      <c r="E30" s="1"/>
      <c r="F30" s="1"/>
      <c r="G30" s="1"/>
      <c r="H30" s="1"/>
      <c r="I30" s="1"/>
      <c r="J30" s="1"/>
    </row>
    <row r="31" spans="2:10" x14ac:dyDescent="0.3">
      <c r="B31" s="1"/>
      <c r="C31" s="1"/>
      <c r="D31" s="1"/>
      <c r="E31" s="1"/>
      <c r="F31" s="1"/>
      <c r="G31" s="1"/>
      <c r="H31" s="1"/>
      <c r="I31" s="1"/>
      <c r="J31" s="1"/>
    </row>
    <row r="32" spans="2:10" x14ac:dyDescent="0.3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3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3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3">
      <c r="B35" s="1" t="s">
        <v>51</v>
      </c>
      <c r="C35" s="1"/>
      <c r="D35" s="1"/>
      <c r="E35" s="1"/>
      <c r="F35" s="1"/>
      <c r="G35" s="1" t="s">
        <v>52</v>
      </c>
      <c r="H35" s="1">
        <v>20</v>
      </c>
      <c r="I35" s="1"/>
      <c r="J35" s="1"/>
    </row>
    <row r="36" spans="2:10" x14ac:dyDescent="0.3">
      <c r="B36" s="1" t="s">
        <v>53</v>
      </c>
      <c r="C36" s="1" t="s">
        <v>54</v>
      </c>
      <c r="D36" s="1">
        <v>18</v>
      </c>
      <c r="E36" s="1"/>
      <c r="F36" s="1"/>
      <c r="G36" s="1"/>
      <c r="H36" s="1"/>
      <c r="I36" s="1" t="s">
        <v>55</v>
      </c>
      <c r="J36" s="1">
        <v>16</v>
      </c>
    </row>
    <row r="37" spans="2:10" x14ac:dyDescent="0.3">
      <c r="B37" s="1"/>
      <c r="C37" s="1" t="s">
        <v>56</v>
      </c>
      <c r="D37" s="1">
        <v>18</v>
      </c>
      <c r="E37" s="1"/>
      <c r="F37" s="1"/>
      <c r="G37" s="1"/>
      <c r="H37" s="1"/>
      <c r="I37" s="1"/>
      <c r="J37" s="1"/>
    </row>
    <row r="38" spans="2:10" x14ac:dyDescent="0.3">
      <c r="B38" s="1" t="s">
        <v>42</v>
      </c>
      <c r="C38" s="1"/>
      <c r="D38" s="1">
        <f>SUM(D13:D37)</f>
        <v>63</v>
      </c>
      <c r="E38" s="1">
        <v>0</v>
      </c>
      <c r="F38" s="1"/>
      <c r="G38" s="1"/>
      <c r="H38" s="1">
        <f>SUM(H13:H35)</f>
        <v>47</v>
      </c>
      <c r="I38" s="1"/>
      <c r="J38" s="1">
        <v>37</v>
      </c>
    </row>
    <row r="39" spans="2:10" x14ac:dyDescent="0.3">
      <c r="D39" s="4">
        <f>D10+D38</f>
        <v>45</v>
      </c>
      <c r="H39" s="4">
        <f>H10+H38</f>
        <v>17</v>
      </c>
      <c r="J39" s="4">
        <f>J10+J38</f>
        <v>-3</v>
      </c>
    </row>
  </sheetData>
  <mergeCells count="4">
    <mergeCell ref="C11:D11"/>
    <mergeCell ref="E11:F11"/>
    <mergeCell ref="G11:H11"/>
    <mergeCell ref="I11:J1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EA3B-C607-4B3C-8B12-9B98F3D61077}">
  <dimension ref="C13:M32"/>
  <sheetViews>
    <sheetView tabSelected="1" workbookViewId="0">
      <selection activeCell="J18" sqref="J18"/>
    </sheetView>
  </sheetViews>
  <sheetFormatPr defaultRowHeight="16.5" x14ac:dyDescent="0.3"/>
  <cols>
    <col min="3" max="3" width="22.875" customWidth="1"/>
  </cols>
  <sheetData>
    <row r="13" spans="3:8" x14ac:dyDescent="0.3">
      <c r="C13" t="s">
        <v>71</v>
      </c>
      <c r="D13" t="s">
        <v>72</v>
      </c>
      <c r="E13" t="s">
        <v>73</v>
      </c>
      <c r="F13" t="s">
        <v>40</v>
      </c>
      <c r="G13" t="s">
        <v>74</v>
      </c>
      <c r="H13" t="s">
        <v>75</v>
      </c>
    </row>
    <row r="14" spans="3:8" x14ac:dyDescent="0.3">
      <c r="C14" t="s">
        <v>76</v>
      </c>
      <c r="D14">
        <v>12</v>
      </c>
      <c r="E14">
        <v>18</v>
      </c>
      <c r="F14">
        <v>12</v>
      </c>
      <c r="G14">
        <v>3</v>
      </c>
      <c r="H14">
        <v>45</v>
      </c>
    </row>
    <row r="15" spans="3:8" x14ac:dyDescent="0.3">
      <c r="C15" t="s">
        <v>53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3:8" x14ac:dyDescent="0.3">
      <c r="C16" t="s">
        <v>77</v>
      </c>
      <c r="D16">
        <v>0</v>
      </c>
      <c r="E16">
        <v>0</v>
      </c>
      <c r="F16">
        <v>20</v>
      </c>
      <c r="G16">
        <v>0</v>
      </c>
      <c r="H16">
        <v>20</v>
      </c>
    </row>
    <row r="17" spans="3:13" x14ac:dyDescent="0.3">
      <c r="C17" t="s">
        <v>78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3:13" x14ac:dyDescent="0.3">
      <c r="C18" t="s">
        <v>79</v>
      </c>
      <c r="D18">
        <v>0</v>
      </c>
      <c r="E18">
        <v>0</v>
      </c>
      <c r="F18">
        <v>2</v>
      </c>
      <c r="G18">
        <v>5</v>
      </c>
      <c r="H18">
        <v>7</v>
      </c>
    </row>
    <row r="19" spans="3:13" x14ac:dyDescent="0.3">
      <c r="C19" t="s">
        <v>80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3:13" x14ac:dyDescent="0.3">
      <c r="C20" t="s">
        <v>82</v>
      </c>
      <c r="G20">
        <v>18</v>
      </c>
    </row>
    <row r="21" spans="3:13" x14ac:dyDescent="0.3">
      <c r="C21" t="s">
        <v>89</v>
      </c>
      <c r="D21">
        <v>18</v>
      </c>
    </row>
    <row r="22" spans="3:13" x14ac:dyDescent="0.3">
      <c r="C22" t="s">
        <v>0</v>
      </c>
      <c r="E22">
        <v>18</v>
      </c>
    </row>
    <row r="23" spans="3:13" x14ac:dyDescent="0.3">
      <c r="C23" t="s">
        <v>90</v>
      </c>
      <c r="G23">
        <v>16</v>
      </c>
    </row>
    <row r="24" spans="3:13" x14ac:dyDescent="0.3">
      <c r="C24" t="s">
        <v>81</v>
      </c>
      <c r="D24">
        <f>SUM(D14:D23)</f>
        <v>30</v>
      </c>
      <c r="E24">
        <f t="shared" ref="E24:G24" si="0">SUM(E14:E23)</f>
        <v>36</v>
      </c>
      <c r="F24">
        <f t="shared" si="0"/>
        <v>34</v>
      </c>
      <c r="G24">
        <f t="shared" si="0"/>
        <v>42</v>
      </c>
      <c r="H24">
        <f>SUM(D24:G24)</f>
        <v>142</v>
      </c>
    </row>
    <row r="27" spans="3:13" x14ac:dyDescent="0.3">
      <c r="K27" t="s">
        <v>83</v>
      </c>
      <c r="L27" t="s">
        <v>84</v>
      </c>
      <c r="M27">
        <v>3</v>
      </c>
    </row>
    <row r="28" spans="3:13" x14ac:dyDescent="0.3">
      <c r="K28" t="s">
        <v>85</v>
      </c>
      <c r="M28">
        <v>3</v>
      </c>
    </row>
    <row r="29" spans="3:13" x14ac:dyDescent="0.3">
      <c r="K29" t="s">
        <v>86</v>
      </c>
      <c r="M29">
        <v>3</v>
      </c>
    </row>
    <row r="30" spans="3:13" x14ac:dyDescent="0.3">
      <c r="K30" t="s">
        <v>87</v>
      </c>
      <c r="M30">
        <v>3</v>
      </c>
    </row>
    <row r="31" spans="3:13" x14ac:dyDescent="0.3">
      <c r="K31" t="s">
        <v>88</v>
      </c>
      <c r="M31">
        <v>3</v>
      </c>
    </row>
    <row r="32" spans="3:13" x14ac:dyDescent="0.3">
      <c r="K32" t="s">
        <v>19</v>
      </c>
      <c r="M32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8816-393C-43B2-9A0F-EDE0DD920693}">
  <dimension ref="B2:D8"/>
  <sheetViews>
    <sheetView workbookViewId="0">
      <selection activeCell="C9" sqref="C9"/>
    </sheetView>
  </sheetViews>
  <sheetFormatPr defaultRowHeight="16.5" x14ac:dyDescent="0.3"/>
  <cols>
    <col min="1" max="1" width="6.75" customWidth="1"/>
    <col min="2" max="5" width="18.875" customWidth="1"/>
  </cols>
  <sheetData>
    <row r="2" spans="2:4" ht="26.25" x14ac:dyDescent="0.3">
      <c r="B2" s="3" t="s">
        <v>33</v>
      </c>
    </row>
    <row r="4" spans="2:4" x14ac:dyDescent="0.3">
      <c r="B4" s="2" t="s">
        <v>34</v>
      </c>
      <c r="C4" s="2" t="s">
        <v>35</v>
      </c>
      <c r="D4" s="2" t="s">
        <v>29</v>
      </c>
    </row>
    <row r="5" spans="2:4" x14ac:dyDescent="0.3">
      <c r="B5" s="1" t="s">
        <v>0</v>
      </c>
      <c r="C5" s="1">
        <v>18</v>
      </c>
      <c r="D5" s="1" t="s">
        <v>3</v>
      </c>
    </row>
    <row r="6" spans="2:4" x14ac:dyDescent="0.3">
      <c r="B6" s="1" t="s">
        <v>1</v>
      </c>
      <c r="C6" s="1">
        <v>18</v>
      </c>
      <c r="D6" s="1" t="s">
        <v>3</v>
      </c>
    </row>
    <row r="7" spans="2:4" x14ac:dyDescent="0.3">
      <c r="B7" s="1" t="s">
        <v>2</v>
      </c>
      <c r="C7" s="1">
        <v>6</v>
      </c>
      <c r="D7" s="1" t="s">
        <v>3</v>
      </c>
    </row>
    <row r="8" spans="2:4" x14ac:dyDescent="0.3">
      <c r="B8" s="1" t="s">
        <v>36</v>
      </c>
      <c r="C8" s="1">
        <v>16</v>
      </c>
      <c r="D8" s="1" t="s"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5E68-2C6E-4339-A3EC-8B5D40EE235F}">
  <dimension ref="B2:D16"/>
  <sheetViews>
    <sheetView workbookViewId="0">
      <selection activeCell="F12" sqref="F12"/>
    </sheetView>
  </sheetViews>
  <sheetFormatPr defaultRowHeight="16.5" x14ac:dyDescent="0.3"/>
  <cols>
    <col min="1" max="1" width="5.125" customWidth="1"/>
    <col min="3" max="3" width="16.25" customWidth="1"/>
    <col min="4" max="5" width="16.5" customWidth="1"/>
  </cols>
  <sheetData>
    <row r="2" spans="2:4" ht="26.25" x14ac:dyDescent="0.3">
      <c r="B2" s="3" t="s">
        <v>30</v>
      </c>
    </row>
    <row r="4" spans="2:4" x14ac:dyDescent="0.3">
      <c r="B4" s="2" t="s">
        <v>27</v>
      </c>
      <c r="C4" s="2" t="s">
        <v>28</v>
      </c>
      <c r="D4" s="2" t="s">
        <v>29</v>
      </c>
    </row>
    <row r="5" spans="2:4" x14ac:dyDescent="0.3">
      <c r="B5" s="5" t="s">
        <v>31</v>
      </c>
      <c r="C5" s="1" t="s">
        <v>13</v>
      </c>
      <c r="D5" s="1" t="s">
        <v>17</v>
      </c>
    </row>
    <row r="6" spans="2:4" x14ac:dyDescent="0.3">
      <c r="B6" s="5"/>
      <c r="C6" s="1" t="s">
        <v>14</v>
      </c>
      <c r="D6" s="1" t="s">
        <v>17</v>
      </c>
    </row>
    <row r="7" spans="2:4" x14ac:dyDescent="0.3">
      <c r="B7" s="5"/>
      <c r="C7" s="1" t="s">
        <v>15</v>
      </c>
      <c r="D7" s="1" t="s">
        <v>18</v>
      </c>
    </row>
    <row r="8" spans="2:4" x14ac:dyDescent="0.3">
      <c r="B8" s="5"/>
      <c r="C8" s="1" t="s">
        <v>16</v>
      </c>
      <c r="D8" s="1" t="s">
        <v>18</v>
      </c>
    </row>
    <row r="9" spans="2:4" x14ac:dyDescent="0.3">
      <c r="B9" s="5" t="s">
        <v>32</v>
      </c>
      <c r="C9" s="1" t="s">
        <v>19</v>
      </c>
      <c r="D9" s="1" t="s">
        <v>17</v>
      </c>
    </row>
    <row r="10" spans="2:4" x14ac:dyDescent="0.3">
      <c r="B10" s="5"/>
      <c r="C10" s="1" t="s">
        <v>20</v>
      </c>
      <c r="D10" s="1" t="s">
        <v>17</v>
      </c>
    </row>
    <row r="11" spans="2:4" x14ac:dyDescent="0.3">
      <c r="B11" s="5"/>
      <c r="C11" s="1" t="s">
        <v>21</v>
      </c>
      <c r="D11" s="1" t="s">
        <v>17</v>
      </c>
    </row>
    <row r="12" spans="2:4" x14ac:dyDescent="0.3">
      <c r="B12" s="5"/>
      <c r="C12" s="1" t="s">
        <v>22</v>
      </c>
      <c r="D12" s="1" t="s">
        <v>18</v>
      </c>
    </row>
    <row r="13" spans="2:4" x14ac:dyDescent="0.3">
      <c r="B13" s="5"/>
      <c r="C13" s="1" t="s">
        <v>23</v>
      </c>
      <c r="D13" s="1" t="s">
        <v>17</v>
      </c>
    </row>
    <row r="14" spans="2:4" x14ac:dyDescent="0.3">
      <c r="B14" s="5"/>
      <c r="C14" s="1" t="s">
        <v>24</v>
      </c>
      <c r="D14" s="1" t="s">
        <v>18</v>
      </c>
    </row>
    <row r="15" spans="2:4" x14ac:dyDescent="0.3">
      <c r="B15" s="5"/>
      <c r="C15" s="1" t="s">
        <v>25</v>
      </c>
      <c r="D15" s="1" t="s">
        <v>17</v>
      </c>
    </row>
    <row r="16" spans="2:4" x14ac:dyDescent="0.3">
      <c r="B16" s="5"/>
      <c r="C16" s="1" t="s">
        <v>26</v>
      </c>
      <c r="D16" s="1" t="s">
        <v>17</v>
      </c>
    </row>
  </sheetData>
  <mergeCells count="2">
    <mergeCell ref="B5:B8"/>
    <mergeCell ref="B9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2022년 독학사 시험일정</vt:lpstr>
      <vt:lpstr>Sheet2</vt:lpstr>
      <vt:lpstr>Sheet3</vt:lpstr>
      <vt:lpstr>자격증 학점</vt:lpstr>
      <vt:lpstr>독학사,학은제 중복과목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YangHa Park</cp:lastModifiedBy>
  <dcterms:created xsi:type="dcterms:W3CDTF">2022-11-09T09:12:03Z</dcterms:created>
  <dcterms:modified xsi:type="dcterms:W3CDTF">2024-06-27T02:50:56Z</dcterms:modified>
</cp:coreProperties>
</file>